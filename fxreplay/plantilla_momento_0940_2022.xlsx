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Operaciones" sheetId="2" state="visible" r:id="rId2"/>
    <sheet name="Resumen"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1" t="inlineStr">
        <is>
          <t>VALIDACIÓN A MANO · MOMENTO 09:40 · NQ / US100 · 60 sesiones seguidas de 2022</t>
        </is>
      </c>
    </row>
    <row r="2">
      <c r="A2" t="inlineStr"/>
    </row>
    <row r="3">
      <c r="A3" s="2" t="inlineStr">
        <is>
          <t>Antes de empezar</t>
        </is>
      </c>
    </row>
    <row r="4">
      <c r="A4" t="inlineStr">
        <is>
          <t>1. Gráfico en HORA DE NUEVA YORK (no la de España ni UTC). Velas de 1 minuto.</t>
        </is>
      </c>
    </row>
    <row r="5">
      <c r="A5" t="inlineStr">
        <is>
          <t>2. Haz las 60 sesiones SEGUIDAS, sin saltarte ninguna, aunque el día 'no te guste'.</t>
        </is>
      </c>
    </row>
    <row r="6">
      <c r="A6" t="inlineStr">
        <is>
          <t>3. No mires el día siguiente antes de apuntar el resultado del actual.</t>
        </is>
      </c>
    </row>
    <row r="7">
      <c r="A7" t="inlineStr"/>
    </row>
    <row r="8">
      <c r="A8" s="2" t="inlineStr">
        <is>
          <t>Cada día</t>
        </is>
      </c>
    </row>
    <row r="9">
      <c r="A9" t="inlineStr">
        <is>
          <t>A. Apunta el CIERRE de la vela de las 09:09 (columna B).</t>
        </is>
      </c>
    </row>
    <row r="10">
      <c r="A10" t="inlineStr">
        <is>
          <t>B. Apunta el CIERRE de la vela de las 09:39 (columna C).</t>
        </is>
      </c>
    </row>
    <row r="11">
      <c r="A11" t="inlineStr">
        <is>
          <t xml:space="preserve">   · La hoja te dice la dirección: 09:39 &gt; 09:09 → LARGO · 09:39 &lt; 09:09 → CORTO.</t>
        </is>
      </c>
    </row>
    <row r="12">
      <c r="A12" t="inlineStr">
        <is>
          <t>C. Entrada a mercado en la APERTURA de la vela de las 09:40 (columna D).</t>
        </is>
      </c>
    </row>
    <row r="13">
      <c r="A13" t="inlineStr">
        <is>
          <t xml:space="preserve">   · La hoja calcula el stop (0,40% del precio) y el TP (el doble), columnas F-H.</t>
        </is>
      </c>
    </row>
    <row r="14">
      <c r="A14" t="inlineStr">
        <is>
          <t>D. Avanza el replay hasta que pase una de tres cosas y elige en la columna I:</t>
        </is>
      </c>
    </row>
    <row r="15">
      <c r="A15" t="inlineStr">
        <is>
          <t xml:space="preserve">   · TP  = toca el objetivo · SL = toca el stop · CIERRE = no toca nada antes de las 15:59.</t>
        </is>
      </c>
    </row>
    <row r="16">
      <c r="A16" t="inlineStr">
        <is>
          <t xml:space="preserve">   · Si en la MISMA vela de 1 minuto se tocan TP y SL, apunta SL.</t>
        </is>
      </c>
    </row>
    <row r="17">
      <c r="A17" t="inlineStr">
        <is>
          <t>E. Si es CIERRE, apunta el precio de cierre de la vela de las 15:59 en la columna J.</t>
        </is>
      </c>
    </row>
    <row r="18">
      <c r="A18" t="inlineStr"/>
    </row>
    <row r="19">
      <c r="A19" t="inlineStr">
        <is>
          <t>La hoja calcula la R de cada día (TP = +2, SL = −1, CIERRE = lo que corresponda).</t>
        </is>
      </c>
    </row>
    <row r="20">
      <c r="A20" t="inlineStr">
        <is>
          <t>La comisión se descuenta aparte en la hoja Resumen.</t>
        </is>
      </c>
    </row>
    <row r="21">
      <c r="A21" t="inlineStr"/>
    </row>
    <row r="22">
      <c r="A22" t="inlineStr">
        <is>
          <t>Qué esperar (sacado del backtest): unas +5R en 60 días, pero lo normal va de −9R a +19R.</t>
        </is>
      </c>
    </row>
    <row r="23">
      <c r="A23" t="inlineStr">
        <is>
          <t>Un resultado dentro de ese rango es compatible con el backtest. Si sale MUY por debajo,</t>
        </is>
      </c>
    </row>
    <row r="24">
      <c r="A24" t="inlineStr">
        <is>
          <t>puede haber un error en el código: avísame.</t>
        </is>
      </c>
    </row>
    <row r="25">
      <c r="A25" t="inlineStr">
        <is>
          <t>Cuando acabes, pásame el Excel y lo cruzo día a día con el backtest.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0" customWidth="1" min="5" max="5"/>
    <col width="12" customWidth="1" min="6" max="6"/>
    <col width="12" customWidth="1" min="7" max="7"/>
    <col width="12" customWidth="1" min="8" max="8"/>
    <col width="14" customWidth="1" min="9" max="9"/>
    <col width="14" customWidth="1" min="10" max="10"/>
    <col width="8" customWidth="1" min="11" max="11"/>
    <col width="30" customWidth="1" min="12" max="12"/>
  </cols>
  <sheetData>
    <row r="1">
      <c r="A1" s="3" t="inlineStr">
        <is>
          <t>Fecha</t>
        </is>
      </c>
      <c r="B1" s="3" t="inlineStr">
        <is>
          <t>Cierre 09:09</t>
        </is>
      </c>
      <c r="C1" s="3" t="inlineStr">
        <is>
          <t>Cierre 09:39</t>
        </is>
      </c>
      <c r="D1" s="3" t="inlineStr">
        <is>
          <t>Apertura 09:40 (entrada)</t>
        </is>
      </c>
      <c r="E1" s="3" t="inlineStr">
        <is>
          <t>Dirección</t>
        </is>
      </c>
      <c r="F1" s="3" t="inlineStr">
        <is>
          <t>Distancia stop (0,40%)</t>
        </is>
      </c>
      <c r="G1" s="3" t="inlineStr">
        <is>
          <t>Precio STOP</t>
        </is>
      </c>
      <c r="H1" s="3" t="inlineStr">
        <is>
          <t>Precio TP (2R)</t>
        </is>
      </c>
      <c r="I1" s="3" t="inlineStr">
        <is>
          <t>Resultado (TP/SL/CIERRE)</t>
        </is>
      </c>
      <c r="J1" s="3" t="inlineStr">
        <is>
          <t>Cierre 15:59 (si CIERRE)</t>
        </is>
      </c>
      <c r="K1" s="3" t="inlineStr">
        <is>
          <t>R</t>
        </is>
      </c>
      <c r="L1" s="3" t="inlineStr">
        <is>
          <t>Notas</t>
        </is>
      </c>
    </row>
    <row r="2">
      <c r="A2" s="4" t="n">
        <v>44564</v>
      </c>
      <c r="E2">
        <f>IF(OR(B2="",C2=""),"",IF(C2&gt;B2,"LARGO",IF(C2&lt;B2,"CORTO","NADA")))</f>
        <v/>
      </c>
      <c r="F2">
        <f>IF(D2="","",ROUND(D2*0.004,2))</f>
        <v/>
      </c>
      <c r="G2">
        <f>IF(OR(D2="",E2="NADA"),"",IF(E2="LARGO",D2-F2,D2+F2))</f>
        <v/>
      </c>
      <c r="H2">
        <f>IF(OR(D2="",E2="NADA"),"",IF(E2="LARGO",D2+2*F2,D2-2*F2))</f>
        <v/>
      </c>
      <c r="K2">
        <f>IF(I2="TP",2,IF(I2="SL",-1,IF(AND(I2="CIERRE",J2&lt;&gt;""),ROUND(IF(E2="LARGO",J2-D2,D2-J2)/F2,3),"")))</f>
        <v/>
      </c>
    </row>
    <row r="3">
      <c r="A3" s="4" t="n">
        <v>44565</v>
      </c>
      <c r="E3">
        <f>IF(OR(B3="",C3=""),"",IF(C3&gt;B3,"LARGO",IF(C3&lt;B3,"CORTO","NADA")))</f>
        <v/>
      </c>
      <c r="F3">
        <f>IF(D3="","",ROUND(D3*0.004,2))</f>
        <v/>
      </c>
      <c r="G3">
        <f>IF(OR(D3="",E3="NADA"),"",IF(E3="LARGO",D3-F3,D3+F3))</f>
        <v/>
      </c>
      <c r="H3">
        <f>IF(OR(D3="",E3="NADA"),"",IF(E3="LARGO",D3+2*F3,D3-2*F3))</f>
        <v/>
      </c>
      <c r="K3">
        <f>IF(I3="TP",2,IF(I3="SL",-1,IF(AND(I3="CIERRE",J3&lt;&gt;""),ROUND(IF(E3="LARGO",J3-D3,D3-J3)/F3,3),"")))</f>
        <v/>
      </c>
    </row>
    <row r="4">
      <c r="A4" s="4" t="n">
        <v>44566</v>
      </c>
      <c r="E4">
        <f>IF(OR(B4="",C4=""),"",IF(C4&gt;B4,"LARGO",IF(C4&lt;B4,"CORTO","NADA")))</f>
        <v/>
      </c>
      <c r="F4">
        <f>IF(D4="","",ROUND(D4*0.004,2))</f>
        <v/>
      </c>
      <c r="G4">
        <f>IF(OR(D4="",E4="NADA"),"",IF(E4="LARGO",D4-F4,D4+F4))</f>
        <v/>
      </c>
      <c r="H4">
        <f>IF(OR(D4="",E4="NADA"),"",IF(E4="LARGO",D4+2*F4,D4-2*F4))</f>
        <v/>
      </c>
      <c r="K4">
        <f>IF(I4="TP",2,IF(I4="SL",-1,IF(AND(I4="CIERRE",J4&lt;&gt;""),ROUND(IF(E4="LARGO",J4-D4,D4-J4)/F4,3),"")))</f>
        <v/>
      </c>
    </row>
    <row r="5">
      <c r="A5" s="4" t="n">
        <v>44567</v>
      </c>
      <c r="E5">
        <f>IF(OR(B5="",C5=""),"",IF(C5&gt;B5,"LARGO",IF(C5&lt;B5,"CORTO","NADA")))</f>
        <v/>
      </c>
      <c r="F5">
        <f>IF(D5="","",ROUND(D5*0.004,2))</f>
        <v/>
      </c>
      <c r="G5">
        <f>IF(OR(D5="",E5="NADA"),"",IF(E5="LARGO",D5-F5,D5+F5))</f>
        <v/>
      </c>
      <c r="H5">
        <f>IF(OR(D5="",E5="NADA"),"",IF(E5="LARGO",D5+2*F5,D5-2*F5))</f>
        <v/>
      </c>
      <c r="K5">
        <f>IF(I5="TP",2,IF(I5="SL",-1,IF(AND(I5="CIERRE",J5&lt;&gt;""),ROUND(IF(E5="LARGO",J5-D5,D5-J5)/F5,3),"")))</f>
        <v/>
      </c>
    </row>
    <row r="6">
      <c r="A6" s="4" t="n">
        <v>44568</v>
      </c>
      <c r="E6">
        <f>IF(OR(B6="",C6=""),"",IF(C6&gt;B6,"LARGO",IF(C6&lt;B6,"CORTO","NADA")))</f>
        <v/>
      </c>
      <c r="F6">
        <f>IF(D6="","",ROUND(D6*0.004,2))</f>
        <v/>
      </c>
      <c r="G6">
        <f>IF(OR(D6="",E6="NADA"),"",IF(E6="LARGO",D6-F6,D6+F6))</f>
        <v/>
      </c>
      <c r="H6">
        <f>IF(OR(D6="",E6="NADA"),"",IF(E6="LARGO",D6+2*F6,D6-2*F6))</f>
        <v/>
      </c>
      <c r="K6">
        <f>IF(I6="TP",2,IF(I6="SL",-1,IF(AND(I6="CIERRE",J6&lt;&gt;""),ROUND(IF(E6="LARGO",J6-D6,D6-J6)/F6,3),"")))</f>
        <v/>
      </c>
    </row>
    <row r="7">
      <c r="A7" s="4" t="n">
        <v>44571</v>
      </c>
      <c r="E7">
        <f>IF(OR(B7="",C7=""),"",IF(C7&gt;B7,"LARGO",IF(C7&lt;B7,"CORTO","NADA")))</f>
        <v/>
      </c>
      <c r="F7">
        <f>IF(D7="","",ROUND(D7*0.004,2))</f>
        <v/>
      </c>
      <c r="G7">
        <f>IF(OR(D7="",E7="NADA"),"",IF(E7="LARGO",D7-F7,D7+F7))</f>
        <v/>
      </c>
      <c r="H7">
        <f>IF(OR(D7="",E7="NADA"),"",IF(E7="LARGO",D7+2*F7,D7-2*F7))</f>
        <v/>
      </c>
      <c r="K7">
        <f>IF(I7="TP",2,IF(I7="SL",-1,IF(AND(I7="CIERRE",J7&lt;&gt;""),ROUND(IF(E7="LARGO",J7-D7,D7-J7)/F7,3),"")))</f>
        <v/>
      </c>
    </row>
    <row r="8">
      <c r="A8" s="4" t="n">
        <v>44572</v>
      </c>
      <c r="E8">
        <f>IF(OR(B8="",C8=""),"",IF(C8&gt;B8,"LARGO",IF(C8&lt;B8,"CORTO","NADA")))</f>
        <v/>
      </c>
      <c r="F8">
        <f>IF(D8="","",ROUND(D8*0.004,2))</f>
        <v/>
      </c>
      <c r="G8">
        <f>IF(OR(D8="",E8="NADA"),"",IF(E8="LARGO",D8-F8,D8+F8))</f>
        <v/>
      </c>
      <c r="H8">
        <f>IF(OR(D8="",E8="NADA"),"",IF(E8="LARGO",D8+2*F8,D8-2*F8))</f>
        <v/>
      </c>
      <c r="K8">
        <f>IF(I8="TP",2,IF(I8="SL",-1,IF(AND(I8="CIERRE",J8&lt;&gt;""),ROUND(IF(E8="LARGO",J8-D8,D8-J8)/F8,3),"")))</f>
        <v/>
      </c>
    </row>
    <row r="9">
      <c r="A9" s="4" t="n">
        <v>44573</v>
      </c>
      <c r="E9">
        <f>IF(OR(B9="",C9=""),"",IF(C9&gt;B9,"LARGO",IF(C9&lt;B9,"CORTO","NADA")))</f>
        <v/>
      </c>
      <c r="F9">
        <f>IF(D9="","",ROUND(D9*0.004,2))</f>
        <v/>
      </c>
      <c r="G9">
        <f>IF(OR(D9="",E9="NADA"),"",IF(E9="LARGO",D9-F9,D9+F9))</f>
        <v/>
      </c>
      <c r="H9">
        <f>IF(OR(D9="",E9="NADA"),"",IF(E9="LARGO",D9+2*F9,D9-2*F9))</f>
        <v/>
      </c>
      <c r="K9">
        <f>IF(I9="TP",2,IF(I9="SL",-1,IF(AND(I9="CIERRE",J9&lt;&gt;""),ROUND(IF(E9="LARGO",J9-D9,D9-J9)/F9,3),"")))</f>
        <v/>
      </c>
    </row>
    <row r="10">
      <c r="A10" s="4" t="n">
        <v>44574</v>
      </c>
      <c r="E10">
        <f>IF(OR(B10="",C10=""),"",IF(C10&gt;B10,"LARGO",IF(C10&lt;B10,"CORTO","NADA")))</f>
        <v/>
      </c>
      <c r="F10">
        <f>IF(D10="","",ROUND(D10*0.004,2))</f>
        <v/>
      </c>
      <c r="G10">
        <f>IF(OR(D10="",E10="NADA"),"",IF(E10="LARGO",D10-F10,D10+F10))</f>
        <v/>
      </c>
      <c r="H10">
        <f>IF(OR(D10="",E10="NADA"),"",IF(E10="LARGO",D10+2*F10,D10-2*F10))</f>
        <v/>
      </c>
      <c r="K10">
        <f>IF(I10="TP",2,IF(I10="SL",-1,IF(AND(I10="CIERRE",J10&lt;&gt;""),ROUND(IF(E10="LARGO",J10-D10,D10-J10)/F10,3),"")))</f>
        <v/>
      </c>
    </row>
    <row r="11">
      <c r="A11" s="4" t="n">
        <v>44575</v>
      </c>
      <c r="E11">
        <f>IF(OR(B11="",C11=""),"",IF(C11&gt;B11,"LARGO",IF(C11&lt;B11,"CORTO","NADA")))</f>
        <v/>
      </c>
      <c r="F11">
        <f>IF(D11="","",ROUND(D11*0.004,2))</f>
        <v/>
      </c>
      <c r="G11">
        <f>IF(OR(D11="",E11="NADA"),"",IF(E11="LARGO",D11-F11,D11+F11))</f>
        <v/>
      </c>
      <c r="H11">
        <f>IF(OR(D11="",E11="NADA"),"",IF(E11="LARGO",D11+2*F11,D11-2*F11))</f>
        <v/>
      </c>
      <c r="K11">
        <f>IF(I11="TP",2,IF(I11="SL",-1,IF(AND(I11="CIERRE",J11&lt;&gt;""),ROUND(IF(E11="LARGO",J11-D11,D11-J11)/F11,3),"")))</f>
        <v/>
      </c>
    </row>
    <row r="12">
      <c r="A12" s="4" t="n">
        <v>44578</v>
      </c>
      <c r="E12">
        <f>IF(OR(B12="",C12=""),"",IF(C12&gt;B12,"LARGO",IF(C12&lt;B12,"CORTO","NADA")))</f>
        <v/>
      </c>
      <c r="F12">
        <f>IF(D12="","",ROUND(D12*0.004,2))</f>
        <v/>
      </c>
      <c r="G12">
        <f>IF(OR(D12="",E12="NADA"),"",IF(E12="LARGO",D12-F12,D12+F12))</f>
        <v/>
      </c>
      <c r="H12">
        <f>IF(OR(D12="",E12="NADA"),"",IF(E12="LARGO",D12+2*F12,D12-2*F12))</f>
        <v/>
      </c>
      <c r="K12">
        <f>IF(I12="TP",2,IF(I12="SL",-1,IF(AND(I12="CIERRE",J12&lt;&gt;""),ROUND(IF(E12="LARGO",J12-D12,D12-J12)/F12,3),"")))</f>
        <v/>
      </c>
    </row>
    <row r="13">
      <c r="A13" s="4" t="n">
        <v>44579</v>
      </c>
      <c r="E13">
        <f>IF(OR(B13="",C13=""),"",IF(C13&gt;B13,"LARGO",IF(C13&lt;B13,"CORTO","NADA")))</f>
        <v/>
      </c>
      <c r="F13">
        <f>IF(D13="","",ROUND(D13*0.004,2))</f>
        <v/>
      </c>
      <c r="G13">
        <f>IF(OR(D13="",E13="NADA"),"",IF(E13="LARGO",D13-F13,D13+F13))</f>
        <v/>
      </c>
      <c r="H13">
        <f>IF(OR(D13="",E13="NADA"),"",IF(E13="LARGO",D13+2*F13,D13-2*F13))</f>
        <v/>
      </c>
      <c r="K13">
        <f>IF(I13="TP",2,IF(I13="SL",-1,IF(AND(I13="CIERRE",J13&lt;&gt;""),ROUND(IF(E13="LARGO",J13-D13,D13-J13)/F13,3),"")))</f>
        <v/>
      </c>
    </row>
    <row r="14">
      <c r="A14" s="4" t="n">
        <v>44580</v>
      </c>
      <c r="E14">
        <f>IF(OR(B14="",C14=""),"",IF(C14&gt;B14,"LARGO",IF(C14&lt;B14,"CORTO","NADA")))</f>
        <v/>
      </c>
      <c r="F14">
        <f>IF(D14="","",ROUND(D14*0.004,2))</f>
        <v/>
      </c>
      <c r="G14">
        <f>IF(OR(D14="",E14="NADA"),"",IF(E14="LARGO",D14-F14,D14+F14))</f>
        <v/>
      </c>
      <c r="H14">
        <f>IF(OR(D14="",E14="NADA"),"",IF(E14="LARGO",D14+2*F14,D14-2*F14))</f>
        <v/>
      </c>
      <c r="K14">
        <f>IF(I14="TP",2,IF(I14="SL",-1,IF(AND(I14="CIERRE",J14&lt;&gt;""),ROUND(IF(E14="LARGO",J14-D14,D14-J14)/F14,3),"")))</f>
        <v/>
      </c>
    </row>
    <row r="15">
      <c r="A15" s="4" t="n">
        <v>44581</v>
      </c>
      <c r="E15">
        <f>IF(OR(B15="",C15=""),"",IF(C15&gt;B15,"LARGO",IF(C15&lt;B15,"CORTO","NADA")))</f>
        <v/>
      </c>
      <c r="F15">
        <f>IF(D15="","",ROUND(D15*0.004,2))</f>
        <v/>
      </c>
      <c r="G15">
        <f>IF(OR(D15="",E15="NADA"),"",IF(E15="LARGO",D15-F15,D15+F15))</f>
        <v/>
      </c>
      <c r="H15">
        <f>IF(OR(D15="",E15="NADA"),"",IF(E15="LARGO",D15+2*F15,D15-2*F15))</f>
        <v/>
      </c>
      <c r="K15">
        <f>IF(I15="TP",2,IF(I15="SL",-1,IF(AND(I15="CIERRE",J15&lt;&gt;""),ROUND(IF(E15="LARGO",J15-D15,D15-J15)/F15,3),"")))</f>
        <v/>
      </c>
    </row>
    <row r="16">
      <c r="A16" s="4" t="n">
        <v>44582</v>
      </c>
      <c r="E16">
        <f>IF(OR(B16="",C16=""),"",IF(C16&gt;B16,"LARGO",IF(C16&lt;B16,"CORTO","NADA")))</f>
        <v/>
      </c>
      <c r="F16">
        <f>IF(D16="","",ROUND(D16*0.004,2))</f>
        <v/>
      </c>
      <c r="G16">
        <f>IF(OR(D16="",E16="NADA"),"",IF(E16="LARGO",D16-F16,D16+F16))</f>
        <v/>
      </c>
      <c r="H16">
        <f>IF(OR(D16="",E16="NADA"),"",IF(E16="LARGO",D16+2*F16,D16-2*F16))</f>
        <v/>
      </c>
      <c r="K16">
        <f>IF(I16="TP",2,IF(I16="SL",-1,IF(AND(I16="CIERRE",J16&lt;&gt;""),ROUND(IF(E16="LARGO",J16-D16,D16-J16)/F16,3),"")))</f>
        <v/>
      </c>
    </row>
    <row r="17">
      <c r="A17" s="4" t="n">
        <v>44585</v>
      </c>
      <c r="E17">
        <f>IF(OR(B17="",C17=""),"",IF(C17&gt;B17,"LARGO",IF(C17&lt;B17,"CORTO","NADA")))</f>
        <v/>
      </c>
      <c r="F17">
        <f>IF(D17="","",ROUND(D17*0.004,2))</f>
        <v/>
      </c>
      <c r="G17">
        <f>IF(OR(D17="",E17="NADA"),"",IF(E17="LARGO",D17-F17,D17+F17))</f>
        <v/>
      </c>
      <c r="H17">
        <f>IF(OR(D17="",E17="NADA"),"",IF(E17="LARGO",D17+2*F17,D17-2*F17))</f>
        <v/>
      </c>
      <c r="K17">
        <f>IF(I17="TP",2,IF(I17="SL",-1,IF(AND(I17="CIERRE",J17&lt;&gt;""),ROUND(IF(E17="LARGO",J17-D17,D17-J17)/F17,3),"")))</f>
        <v/>
      </c>
    </row>
    <row r="18">
      <c r="A18" s="4" t="n">
        <v>44586</v>
      </c>
      <c r="E18">
        <f>IF(OR(B18="",C18=""),"",IF(C18&gt;B18,"LARGO",IF(C18&lt;B18,"CORTO","NADA")))</f>
        <v/>
      </c>
      <c r="F18">
        <f>IF(D18="","",ROUND(D18*0.004,2))</f>
        <v/>
      </c>
      <c r="G18">
        <f>IF(OR(D18="",E18="NADA"),"",IF(E18="LARGO",D18-F18,D18+F18))</f>
        <v/>
      </c>
      <c r="H18">
        <f>IF(OR(D18="",E18="NADA"),"",IF(E18="LARGO",D18+2*F18,D18-2*F18))</f>
        <v/>
      </c>
      <c r="K18">
        <f>IF(I18="TP",2,IF(I18="SL",-1,IF(AND(I18="CIERRE",J18&lt;&gt;""),ROUND(IF(E18="LARGO",J18-D18,D18-J18)/F18,3),"")))</f>
        <v/>
      </c>
    </row>
    <row r="19">
      <c r="A19" s="4" t="n">
        <v>44587</v>
      </c>
      <c r="E19">
        <f>IF(OR(B19="",C19=""),"",IF(C19&gt;B19,"LARGO",IF(C19&lt;B19,"CORTO","NADA")))</f>
        <v/>
      </c>
      <c r="F19">
        <f>IF(D19="","",ROUND(D19*0.004,2))</f>
        <v/>
      </c>
      <c r="G19">
        <f>IF(OR(D19="",E19="NADA"),"",IF(E19="LARGO",D19-F19,D19+F19))</f>
        <v/>
      </c>
      <c r="H19">
        <f>IF(OR(D19="",E19="NADA"),"",IF(E19="LARGO",D19+2*F19,D19-2*F19))</f>
        <v/>
      </c>
      <c r="K19">
        <f>IF(I19="TP",2,IF(I19="SL",-1,IF(AND(I19="CIERRE",J19&lt;&gt;""),ROUND(IF(E19="LARGO",J19-D19,D19-J19)/F19,3),"")))</f>
        <v/>
      </c>
    </row>
    <row r="20">
      <c r="A20" s="4" t="n">
        <v>44588</v>
      </c>
      <c r="E20">
        <f>IF(OR(B20="",C20=""),"",IF(C20&gt;B20,"LARGO",IF(C20&lt;B20,"CORTO","NADA")))</f>
        <v/>
      </c>
      <c r="F20">
        <f>IF(D20="","",ROUND(D20*0.004,2))</f>
        <v/>
      </c>
      <c r="G20">
        <f>IF(OR(D20="",E20="NADA"),"",IF(E20="LARGO",D20-F20,D20+F20))</f>
        <v/>
      </c>
      <c r="H20">
        <f>IF(OR(D20="",E20="NADA"),"",IF(E20="LARGO",D20+2*F20,D20-2*F20))</f>
        <v/>
      </c>
      <c r="K20">
        <f>IF(I20="TP",2,IF(I20="SL",-1,IF(AND(I20="CIERRE",J20&lt;&gt;""),ROUND(IF(E20="LARGO",J20-D20,D20-J20)/F20,3),"")))</f>
        <v/>
      </c>
    </row>
    <row r="21">
      <c r="A21" s="4" t="n">
        <v>44589</v>
      </c>
      <c r="E21">
        <f>IF(OR(B21="",C21=""),"",IF(C21&gt;B21,"LARGO",IF(C21&lt;B21,"CORTO","NADA")))</f>
        <v/>
      </c>
      <c r="F21">
        <f>IF(D21="","",ROUND(D21*0.004,2))</f>
        <v/>
      </c>
      <c r="G21">
        <f>IF(OR(D21="",E21="NADA"),"",IF(E21="LARGO",D21-F21,D21+F21))</f>
        <v/>
      </c>
      <c r="H21">
        <f>IF(OR(D21="",E21="NADA"),"",IF(E21="LARGO",D21+2*F21,D21-2*F21))</f>
        <v/>
      </c>
      <c r="K21">
        <f>IF(I21="TP",2,IF(I21="SL",-1,IF(AND(I21="CIERRE",J21&lt;&gt;""),ROUND(IF(E21="LARGO",J21-D21,D21-J21)/F21,3),"")))</f>
        <v/>
      </c>
    </row>
    <row r="22">
      <c r="A22" s="4" t="n">
        <v>44592</v>
      </c>
      <c r="E22">
        <f>IF(OR(B22="",C22=""),"",IF(C22&gt;B22,"LARGO",IF(C22&lt;B22,"CORTO","NADA")))</f>
        <v/>
      </c>
      <c r="F22">
        <f>IF(D22="","",ROUND(D22*0.004,2))</f>
        <v/>
      </c>
      <c r="G22">
        <f>IF(OR(D22="",E22="NADA"),"",IF(E22="LARGO",D22-F22,D22+F22))</f>
        <v/>
      </c>
      <c r="H22">
        <f>IF(OR(D22="",E22="NADA"),"",IF(E22="LARGO",D22+2*F22,D22-2*F22))</f>
        <v/>
      </c>
      <c r="K22">
        <f>IF(I22="TP",2,IF(I22="SL",-1,IF(AND(I22="CIERRE",J22&lt;&gt;""),ROUND(IF(E22="LARGO",J22-D22,D22-J22)/F22,3),"")))</f>
        <v/>
      </c>
    </row>
    <row r="23">
      <c r="A23" s="4" t="n">
        <v>44593</v>
      </c>
      <c r="E23">
        <f>IF(OR(B23="",C23=""),"",IF(C23&gt;B23,"LARGO",IF(C23&lt;B23,"CORTO","NADA")))</f>
        <v/>
      </c>
      <c r="F23">
        <f>IF(D23="","",ROUND(D23*0.004,2))</f>
        <v/>
      </c>
      <c r="G23">
        <f>IF(OR(D23="",E23="NADA"),"",IF(E23="LARGO",D23-F23,D23+F23))</f>
        <v/>
      </c>
      <c r="H23">
        <f>IF(OR(D23="",E23="NADA"),"",IF(E23="LARGO",D23+2*F23,D23-2*F23))</f>
        <v/>
      </c>
      <c r="K23">
        <f>IF(I23="TP",2,IF(I23="SL",-1,IF(AND(I23="CIERRE",J23&lt;&gt;""),ROUND(IF(E23="LARGO",J23-D23,D23-J23)/F23,3),"")))</f>
        <v/>
      </c>
    </row>
    <row r="24">
      <c r="A24" s="4" t="n">
        <v>44594</v>
      </c>
      <c r="E24">
        <f>IF(OR(B24="",C24=""),"",IF(C24&gt;B24,"LARGO",IF(C24&lt;B24,"CORTO","NADA")))</f>
        <v/>
      </c>
      <c r="F24">
        <f>IF(D24="","",ROUND(D24*0.004,2))</f>
        <v/>
      </c>
      <c r="G24">
        <f>IF(OR(D24="",E24="NADA"),"",IF(E24="LARGO",D24-F24,D24+F24))</f>
        <v/>
      </c>
      <c r="H24">
        <f>IF(OR(D24="",E24="NADA"),"",IF(E24="LARGO",D24+2*F24,D24-2*F24))</f>
        <v/>
      </c>
      <c r="K24">
        <f>IF(I24="TP",2,IF(I24="SL",-1,IF(AND(I24="CIERRE",J24&lt;&gt;""),ROUND(IF(E24="LARGO",J24-D24,D24-J24)/F24,3),"")))</f>
        <v/>
      </c>
    </row>
    <row r="25">
      <c r="A25" s="4" t="n">
        <v>44595</v>
      </c>
      <c r="E25">
        <f>IF(OR(B25="",C25=""),"",IF(C25&gt;B25,"LARGO",IF(C25&lt;B25,"CORTO","NADA")))</f>
        <v/>
      </c>
      <c r="F25">
        <f>IF(D25="","",ROUND(D25*0.004,2))</f>
        <v/>
      </c>
      <c r="G25">
        <f>IF(OR(D25="",E25="NADA"),"",IF(E25="LARGO",D25-F25,D25+F25))</f>
        <v/>
      </c>
      <c r="H25">
        <f>IF(OR(D25="",E25="NADA"),"",IF(E25="LARGO",D25+2*F25,D25-2*F25))</f>
        <v/>
      </c>
      <c r="K25">
        <f>IF(I25="TP",2,IF(I25="SL",-1,IF(AND(I25="CIERRE",J25&lt;&gt;""),ROUND(IF(E25="LARGO",J25-D25,D25-J25)/F25,3),"")))</f>
        <v/>
      </c>
    </row>
    <row r="26">
      <c r="A26" s="4" t="n">
        <v>44596</v>
      </c>
      <c r="E26">
        <f>IF(OR(B26="",C26=""),"",IF(C26&gt;B26,"LARGO",IF(C26&lt;B26,"CORTO","NADA")))</f>
        <v/>
      </c>
      <c r="F26">
        <f>IF(D26="","",ROUND(D26*0.004,2))</f>
        <v/>
      </c>
      <c r="G26">
        <f>IF(OR(D26="",E26="NADA"),"",IF(E26="LARGO",D26-F26,D26+F26))</f>
        <v/>
      </c>
      <c r="H26">
        <f>IF(OR(D26="",E26="NADA"),"",IF(E26="LARGO",D26+2*F26,D26-2*F26))</f>
        <v/>
      </c>
      <c r="K26">
        <f>IF(I26="TP",2,IF(I26="SL",-1,IF(AND(I26="CIERRE",J26&lt;&gt;""),ROUND(IF(E26="LARGO",J26-D26,D26-J26)/F26,3),"")))</f>
        <v/>
      </c>
    </row>
    <row r="27">
      <c r="A27" s="4" t="n">
        <v>44599</v>
      </c>
      <c r="E27">
        <f>IF(OR(B27="",C27=""),"",IF(C27&gt;B27,"LARGO",IF(C27&lt;B27,"CORTO","NADA")))</f>
        <v/>
      </c>
      <c r="F27">
        <f>IF(D27="","",ROUND(D27*0.004,2))</f>
        <v/>
      </c>
      <c r="G27">
        <f>IF(OR(D27="",E27="NADA"),"",IF(E27="LARGO",D27-F27,D27+F27))</f>
        <v/>
      </c>
      <c r="H27">
        <f>IF(OR(D27="",E27="NADA"),"",IF(E27="LARGO",D27+2*F27,D27-2*F27))</f>
        <v/>
      </c>
      <c r="K27">
        <f>IF(I27="TP",2,IF(I27="SL",-1,IF(AND(I27="CIERRE",J27&lt;&gt;""),ROUND(IF(E27="LARGO",J27-D27,D27-J27)/F27,3),"")))</f>
        <v/>
      </c>
    </row>
    <row r="28">
      <c r="A28" s="4" t="n">
        <v>44600</v>
      </c>
      <c r="E28">
        <f>IF(OR(B28="",C28=""),"",IF(C28&gt;B28,"LARGO",IF(C28&lt;B28,"CORTO","NADA")))</f>
        <v/>
      </c>
      <c r="F28">
        <f>IF(D28="","",ROUND(D28*0.004,2))</f>
        <v/>
      </c>
      <c r="G28">
        <f>IF(OR(D28="",E28="NADA"),"",IF(E28="LARGO",D28-F28,D28+F28))</f>
        <v/>
      </c>
      <c r="H28">
        <f>IF(OR(D28="",E28="NADA"),"",IF(E28="LARGO",D28+2*F28,D28-2*F28))</f>
        <v/>
      </c>
      <c r="K28">
        <f>IF(I28="TP",2,IF(I28="SL",-1,IF(AND(I28="CIERRE",J28&lt;&gt;""),ROUND(IF(E28="LARGO",J28-D28,D28-J28)/F28,3),"")))</f>
        <v/>
      </c>
    </row>
    <row r="29">
      <c r="A29" s="4" t="n">
        <v>44601</v>
      </c>
      <c r="E29">
        <f>IF(OR(B29="",C29=""),"",IF(C29&gt;B29,"LARGO",IF(C29&lt;B29,"CORTO","NADA")))</f>
        <v/>
      </c>
      <c r="F29">
        <f>IF(D29="","",ROUND(D29*0.004,2))</f>
        <v/>
      </c>
      <c r="G29">
        <f>IF(OR(D29="",E29="NADA"),"",IF(E29="LARGO",D29-F29,D29+F29))</f>
        <v/>
      </c>
      <c r="H29">
        <f>IF(OR(D29="",E29="NADA"),"",IF(E29="LARGO",D29+2*F29,D29-2*F29))</f>
        <v/>
      </c>
      <c r="K29">
        <f>IF(I29="TP",2,IF(I29="SL",-1,IF(AND(I29="CIERRE",J29&lt;&gt;""),ROUND(IF(E29="LARGO",J29-D29,D29-J29)/F29,3),"")))</f>
        <v/>
      </c>
    </row>
    <row r="30">
      <c r="A30" s="4" t="n">
        <v>44602</v>
      </c>
      <c r="E30">
        <f>IF(OR(B30="",C30=""),"",IF(C30&gt;B30,"LARGO",IF(C30&lt;B30,"CORTO","NADA")))</f>
        <v/>
      </c>
      <c r="F30">
        <f>IF(D30="","",ROUND(D30*0.004,2))</f>
        <v/>
      </c>
      <c r="G30">
        <f>IF(OR(D30="",E30="NADA"),"",IF(E30="LARGO",D30-F30,D30+F30))</f>
        <v/>
      </c>
      <c r="H30">
        <f>IF(OR(D30="",E30="NADA"),"",IF(E30="LARGO",D30+2*F30,D30-2*F30))</f>
        <v/>
      </c>
      <c r="K30">
        <f>IF(I30="TP",2,IF(I30="SL",-1,IF(AND(I30="CIERRE",J30&lt;&gt;""),ROUND(IF(E30="LARGO",J30-D30,D30-J30)/F30,3),"")))</f>
        <v/>
      </c>
    </row>
    <row r="31">
      <c r="A31" s="4" t="n">
        <v>44603</v>
      </c>
      <c r="E31">
        <f>IF(OR(B31="",C31=""),"",IF(C31&gt;B31,"LARGO",IF(C31&lt;B31,"CORTO","NADA")))</f>
        <v/>
      </c>
      <c r="F31">
        <f>IF(D31="","",ROUND(D31*0.004,2))</f>
        <v/>
      </c>
      <c r="G31">
        <f>IF(OR(D31="",E31="NADA"),"",IF(E31="LARGO",D31-F31,D31+F31))</f>
        <v/>
      </c>
      <c r="H31">
        <f>IF(OR(D31="",E31="NADA"),"",IF(E31="LARGO",D31+2*F31,D31-2*F31))</f>
        <v/>
      </c>
      <c r="K31">
        <f>IF(I31="TP",2,IF(I31="SL",-1,IF(AND(I31="CIERRE",J31&lt;&gt;""),ROUND(IF(E31="LARGO",J31-D31,D31-J31)/F31,3),"")))</f>
        <v/>
      </c>
    </row>
    <row r="32">
      <c r="A32" s="4" t="n">
        <v>44606</v>
      </c>
      <c r="E32">
        <f>IF(OR(B32="",C32=""),"",IF(C32&gt;B32,"LARGO",IF(C32&lt;B32,"CORTO","NADA")))</f>
        <v/>
      </c>
      <c r="F32">
        <f>IF(D32="","",ROUND(D32*0.004,2))</f>
        <v/>
      </c>
      <c r="G32">
        <f>IF(OR(D32="",E32="NADA"),"",IF(E32="LARGO",D32-F32,D32+F32))</f>
        <v/>
      </c>
      <c r="H32">
        <f>IF(OR(D32="",E32="NADA"),"",IF(E32="LARGO",D32+2*F32,D32-2*F32))</f>
        <v/>
      </c>
      <c r="K32">
        <f>IF(I32="TP",2,IF(I32="SL",-1,IF(AND(I32="CIERRE",J32&lt;&gt;""),ROUND(IF(E32="LARGO",J32-D32,D32-J32)/F32,3),"")))</f>
        <v/>
      </c>
    </row>
    <row r="33">
      <c r="A33" s="4" t="n">
        <v>44607</v>
      </c>
      <c r="E33">
        <f>IF(OR(B33="",C33=""),"",IF(C33&gt;B33,"LARGO",IF(C33&lt;B33,"CORTO","NADA")))</f>
        <v/>
      </c>
      <c r="F33">
        <f>IF(D33="","",ROUND(D33*0.004,2))</f>
        <v/>
      </c>
      <c r="G33">
        <f>IF(OR(D33="",E33="NADA"),"",IF(E33="LARGO",D33-F33,D33+F33))</f>
        <v/>
      </c>
      <c r="H33">
        <f>IF(OR(D33="",E33="NADA"),"",IF(E33="LARGO",D33+2*F33,D33-2*F33))</f>
        <v/>
      </c>
      <c r="K33">
        <f>IF(I33="TP",2,IF(I33="SL",-1,IF(AND(I33="CIERRE",J33&lt;&gt;""),ROUND(IF(E33="LARGO",J33-D33,D33-J33)/F33,3),"")))</f>
        <v/>
      </c>
    </row>
    <row r="34">
      <c r="A34" s="4" t="n">
        <v>44608</v>
      </c>
      <c r="E34">
        <f>IF(OR(B34="",C34=""),"",IF(C34&gt;B34,"LARGO",IF(C34&lt;B34,"CORTO","NADA")))</f>
        <v/>
      </c>
      <c r="F34">
        <f>IF(D34="","",ROUND(D34*0.004,2))</f>
        <v/>
      </c>
      <c r="G34">
        <f>IF(OR(D34="",E34="NADA"),"",IF(E34="LARGO",D34-F34,D34+F34))</f>
        <v/>
      </c>
      <c r="H34">
        <f>IF(OR(D34="",E34="NADA"),"",IF(E34="LARGO",D34+2*F34,D34-2*F34))</f>
        <v/>
      </c>
      <c r="K34">
        <f>IF(I34="TP",2,IF(I34="SL",-1,IF(AND(I34="CIERRE",J34&lt;&gt;""),ROUND(IF(E34="LARGO",J34-D34,D34-J34)/F34,3),"")))</f>
        <v/>
      </c>
    </row>
    <row r="35">
      <c r="A35" s="4" t="n">
        <v>44609</v>
      </c>
      <c r="E35">
        <f>IF(OR(B35="",C35=""),"",IF(C35&gt;B35,"LARGO",IF(C35&lt;B35,"CORTO","NADA")))</f>
        <v/>
      </c>
      <c r="F35">
        <f>IF(D35="","",ROUND(D35*0.004,2))</f>
        <v/>
      </c>
      <c r="G35">
        <f>IF(OR(D35="",E35="NADA"),"",IF(E35="LARGO",D35-F35,D35+F35))</f>
        <v/>
      </c>
      <c r="H35">
        <f>IF(OR(D35="",E35="NADA"),"",IF(E35="LARGO",D35+2*F35,D35-2*F35))</f>
        <v/>
      </c>
      <c r="K35">
        <f>IF(I35="TP",2,IF(I35="SL",-1,IF(AND(I35="CIERRE",J35&lt;&gt;""),ROUND(IF(E35="LARGO",J35-D35,D35-J35)/F35,3),"")))</f>
        <v/>
      </c>
    </row>
    <row r="36">
      <c r="A36" s="4" t="n">
        <v>44610</v>
      </c>
      <c r="E36">
        <f>IF(OR(B36="",C36=""),"",IF(C36&gt;B36,"LARGO",IF(C36&lt;B36,"CORTO","NADA")))</f>
        <v/>
      </c>
      <c r="F36">
        <f>IF(D36="","",ROUND(D36*0.004,2))</f>
        <v/>
      </c>
      <c r="G36">
        <f>IF(OR(D36="",E36="NADA"),"",IF(E36="LARGO",D36-F36,D36+F36))</f>
        <v/>
      </c>
      <c r="H36">
        <f>IF(OR(D36="",E36="NADA"),"",IF(E36="LARGO",D36+2*F36,D36-2*F36))</f>
        <v/>
      </c>
      <c r="K36">
        <f>IF(I36="TP",2,IF(I36="SL",-1,IF(AND(I36="CIERRE",J36&lt;&gt;""),ROUND(IF(E36="LARGO",J36-D36,D36-J36)/F36,3),"")))</f>
        <v/>
      </c>
    </row>
    <row r="37">
      <c r="A37" s="4" t="n">
        <v>44613</v>
      </c>
      <c r="E37">
        <f>IF(OR(B37="",C37=""),"",IF(C37&gt;B37,"LARGO",IF(C37&lt;B37,"CORTO","NADA")))</f>
        <v/>
      </c>
      <c r="F37">
        <f>IF(D37="","",ROUND(D37*0.004,2))</f>
        <v/>
      </c>
      <c r="G37">
        <f>IF(OR(D37="",E37="NADA"),"",IF(E37="LARGO",D37-F37,D37+F37))</f>
        <v/>
      </c>
      <c r="H37">
        <f>IF(OR(D37="",E37="NADA"),"",IF(E37="LARGO",D37+2*F37,D37-2*F37))</f>
        <v/>
      </c>
      <c r="K37">
        <f>IF(I37="TP",2,IF(I37="SL",-1,IF(AND(I37="CIERRE",J37&lt;&gt;""),ROUND(IF(E37="LARGO",J37-D37,D37-J37)/F37,3),"")))</f>
        <v/>
      </c>
    </row>
    <row r="38">
      <c r="A38" s="4" t="n">
        <v>44614</v>
      </c>
      <c r="E38">
        <f>IF(OR(B38="",C38=""),"",IF(C38&gt;B38,"LARGO",IF(C38&lt;B38,"CORTO","NADA")))</f>
        <v/>
      </c>
      <c r="F38">
        <f>IF(D38="","",ROUND(D38*0.004,2))</f>
        <v/>
      </c>
      <c r="G38">
        <f>IF(OR(D38="",E38="NADA"),"",IF(E38="LARGO",D38-F38,D38+F38))</f>
        <v/>
      </c>
      <c r="H38">
        <f>IF(OR(D38="",E38="NADA"),"",IF(E38="LARGO",D38+2*F38,D38-2*F38))</f>
        <v/>
      </c>
      <c r="K38">
        <f>IF(I38="TP",2,IF(I38="SL",-1,IF(AND(I38="CIERRE",J38&lt;&gt;""),ROUND(IF(E38="LARGO",J38-D38,D38-J38)/F38,3),"")))</f>
        <v/>
      </c>
    </row>
    <row r="39">
      <c r="A39" s="4" t="n">
        <v>44615</v>
      </c>
      <c r="E39">
        <f>IF(OR(B39="",C39=""),"",IF(C39&gt;B39,"LARGO",IF(C39&lt;B39,"CORTO","NADA")))</f>
        <v/>
      </c>
      <c r="F39">
        <f>IF(D39="","",ROUND(D39*0.004,2))</f>
        <v/>
      </c>
      <c r="G39">
        <f>IF(OR(D39="",E39="NADA"),"",IF(E39="LARGO",D39-F39,D39+F39))</f>
        <v/>
      </c>
      <c r="H39">
        <f>IF(OR(D39="",E39="NADA"),"",IF(E39="LARGO",D39+2*F39,D39-2*F39))</f>
        <v/>
      </c>
      <c r="K39">
        <f>IF(I39="TP",2,IF(I39="SL",-1,IF(AND(I39="CIERRE",J39&lt;&gt;""),ROUND(IF(E39="LARGO",J39-D39,D39-J39)/F39,3),"")))</f>
        <v/>
      </c>
    </row>
    <row r="40">
      <c r="A40" s="4" t="n">
        <v>44616</v>
      </c>
      <c r="E40">
        <f>IF(OR(B40="",C40=""),"",IF(C40&gt;B40,"LARGO",IF(C40&lt;B40,"CORTO","NADA")))</f>
        <v/>
      </c>
      <c r="F40">
        <f>IF(D40="","",ROUND(D40*0.004,2))</f>
        <v/>
      </c>
      <c r="G40">
        <f>IF(OR(D40="",E40="NADA"),"",IF(E40="LARGO",D40-F40,D40+F40))</f>
        <v/>
      </c>
      <c r="H40">
        <f>IF(OR(D40="",E40="NADA"),"",IF(E40="LARGO",D40+2*F40,D40-2*F40))</f>
        <v/>
      </c>
      <c r="K40">
        <f>IF(I40="TP",2,IF(I40="SL",-1,IF(AND(I40="CIERRE",J40&lt;&gt;""),ROUND(IF(E40="LARGO",J40-D40,D40-J40)/F40,3),"")))</f>
        <v/>
      </c>
    </row>
    <row r="41">
      <c r="A41" s="4" t="n">
        <v>44617</v>
      </c>
      <c r="E41">
        <f>IF(OR(B41="",C41=""),"",IF(C41&gt;B41,"LARGO",IF(C41&lt;B41,"CORTO","NADA")))</f>
        <v/>
      </c>
      <c r="F41">
        <f>IF(D41="","",ROUND(D41*0.004,2))</f>
        <v/>
      </c>
      <c r="G41">
        <f>IF(OR(D41="",E41="NADA"),"",IF(E41="LARGO",D41-F41,D41+F41))</f>
        <v/>
      </c>
      <c r="H41">
        <f>IF(OR(D41="",E41="NADA"),"",IF(E41="LARGO",D41+2*F41,D41-2*F41))</f>
        <v/>
      </c>
      <c r="K41">
        <f>IF(I41="TP",2,IF(I41="SL",-1,IF(AND(I41="CIERRE",J41&lt;&gt;""),ROUND(IF(E41="LARGO",J41-D41,D41-J41)/F41,3),"")))</f>
        <v/>
      </c>
    </row>
    <row r="42">
      <c r="A42" s="4" t="n">
        <v>44620</v>
      </c>
      <c r="E42">
        <f>IF(OR(B42="",C42=""),"",IF(C42&gt;B42,"LARGO",IF(C42&lt;B42,"CORTO","NADA")))</f>
        <v/>
      </c>
      <c r="F42">
        <f>IF(D42="","",ROUND(D42*0.004,2))</f>
        <v/>
      </c>
      <c r="G42">
        <f>IF(OR(D42="",E42="NADA"),"",IF(E42="LARGO",D42-F42,D42+F42))</f>
        <v/>
      </c>
      <c r="H42">
        <f>IF(OR(D42="",E42="NADA"),"",IF(E42="LARGO",D42+2*F42,D42-2*F42))</f>
        <v/>
      </c>
      <c r="K42">
        <f>IF(I42="TP",2,IF(I42="SL",-1,IF(AND(I42="CIERRE",J42&lt;&gt;""),ROUND(IF(E42="LARGO",J42-D42,D42-J42)/F42,3),"")))</f>
        <v/>
      </c>
    </row>
    <row r="43">
      <c r="A43" s="4" t="n">
        <v>44621</v>
      </c>
      <c r="E43">
        <f>IF(OR(B43="",C43=""),"",IF(C43&gt;B43,"LARGO",IF(C43&lt;B43,"CORTO","NADA")))</f>
        <v/>
      </c>
      <c r="F43">
        <f>IF(D43="","",ROUND(D43*0.004,2))</f>
        <v/>
      </c>
      <c r="G43">
        <f>IF(OR(D43="",E43="NADA"),"",IF(E43="LARGO",D43-F43,D43+F43))</f>
        <v/>
      </c>
      <c r="H43">
        <f>IF(OR(D43="",E43="NADA"),"",IF(E43="LARGO",D43+2*F43,D43-2*F43))</f>
        <v/>
      </c>
      <c r="K43">
        <f>IF(I43="TP",2,IF(I43="SL",-1,IF(AND(I43="CIERRE",J43&lt;&gt;""),ROUND(IF(E43="LARGO",J43-D43,D43-J43)/F43,3),"")))</f>
        <v/>
      </c>
    </row>
    <row r="44">
      <c r="A44" s="4" t="n">
        <v>44622</v>
      </c>
      <c r="E44">
        <f>IF(OR(B44="",C44=""),"",IF(C44&gt;B44,"LARGO",IF(C44&lt;B44,"CORTO","NADA")))</f>
        <v/>
      </c>
      <c r="F44">
        <f>IF(D44="","",ROUND(D44*0.004,2))</f>
        <v/>
      </c>
      <c r="G44">
        <f>IF(OR(D44="",E44="NADA"),"",IF(E44="LARGO",D44-F44,D44+F44))</f>
        <v/>
      </c>
      <c r="H44">
        <f>IF(OR(D44="",E44="NADA"),"",IF(E44="LARGO",D44+2*F44,D44-2*F44))</f>
        <v/>
      </c>
      <c r="K44">
        <f>IF(I44="TP",2,IF(I44="SL",-1,IF(AND(I44="CIERRE",J44&lt;&gt;""),ROUND(IF(E44="LARGO",J44-D44,D44-J44)/F44,3),"")))</f>
        <v/>
      </c>
    </row>
    <row r="45">
      <c r="A45" s="4" t="n">
        <v>44623</v>
      </c>
      <c r="E45">
        <f>IF(OR(B45="",C45=""),"",IF(C45&gt;B45,"LARGO",IF(C45&lt;B45,"CORTO","NADA")))</f>
        <v/>
      </c>
      <c r="F45">
        <f>IF(D45="","",ROUND(D45*0.004,2))</f>
        <v/>
      </c>
      <c r="G45">
        <f>IF(OR(D45="",E45="NADA"),"",IF(E45="LARGO",D45-F45,D45+F45))</f>
        <v/>
      </c>
      <c r="H45">
        <f>IF(OR(D45="",E45="NADA"),"",IF(E45="LARGO",D45+2*F45,D45-2*F45))</f>
        <v/>
      </c>
      <c r="K45">
        <f>IF(I45="TP",2,IF(I45="SL",-1,IF(AND(I45="CIERRE",J45&lt;&gt;""),ROUND(IF(E45="LARGO",J45-D45,D45-J45)/F45,3),"")))</f>
        <v/>
      </c>
    </row>
    <row r="46">
      <c r="A46" s="4" t="n">
        <v>44624</v>
      </c>
      <c r="E46">
        <f>IF(OR(B46="",C46=""),"",IF(C46&gt;B46,"LARGO",IF(C46&lt;B46,"CORTO","NADA")))</f>
        <v/>
      </c>
      <c r="F46">
        <f>IF(D46="","",ROUND(D46*0.004,2))</f>
        <v/>
      </c>
      <c r="G46">
        <f>IF(OR(D46="",E46="NADA"),"",IF(E46="LARGO",D46-F46,D46+F46))</f>
        <v/>
      </c>
      <c r="H46">
        <f>IF(OR(D46="",E46="NADA"),"",IF(E46="LARGO",D46+2*F46,D46-2*F46))</f>
        <v/>
      </c>
      <c r="K46">
        <f>IF(I46="TP",2,IF(I46="SL",-1,IF(AND(I46="CIERRE",J46&lt;&gt;""),ROUND(IF(E46="LARGO",J46-D46,D46-J46)/F46,3),"")))</f>
        <v/>
      </c>
    </row>
    <row r="47">
      <c r="A47" s="4" t="n">
        <v>44627</v>
      </c>
      <c r="E47">
        <f>IF(OR(B47="",C47=""),"",IF(C47&gt;B47,"LARGO",IF(C47&lt;B47,"CORTO","NADA")))</f>
        <v/>
      </c>
      <c r="F47">
        <f>IF(D47="","",ROUND(D47*0.004,2))</f>
        <v/>
      </c>
      <c r="G47">
        <f>IF(OR(D47="",E47="NADA"),"",IF(E47="LARGO",D47-F47,D47+F47))</f>
        <v/>
      </c>
      <c r="H47">
        <f>IF(OR(D47="",E47="NADA"),"",IF(E47="LARGO",D47+2*F47,D47-2*F47))</f>
        <v/>
      </c>
      <c r="K47">
        <f>IF(I47="TP",2,IF(I47="SL",-1,IF(AND(I47="CIERRE",J47&lt;&gt;""),ROUND(IF(E47="LARGO",J47-D47,D47-J47)/F47,3),"")))</f>
        <v/>
      </c>
    </row>
    <row r="48">
      <c r="A48" s="4" t="n">
        <v>44628</v>
      </c>
      <c r="E48">
        <f>IF(OR(B48="",C48=""),"",IF(C48&gt;B48,"LARGO",IF(C48&lt;B48,"CORTO","NADA")))</f>
        <v/>
      </c>
      <c r="F48">
        <f>IF(D48="","",ROUND(D48*0.004,2))</f>
        <v/>
      </c>
      <c r="G48">
        <f>IF(OR(D48="",E48="NADA"),"",IF(E48="LARGO",D48-F48,D48+F48))</f>
        <v/>
      </c>
      <c r="H48">
        <f>IF(OR(D48="",E48="NADA"),"",IF(E48="LARGO",D48+2*F48,D48-2*F48))</f>
        <v/>
      </c>
      <c r="K48">
        <f>IF(I48="TP",2,IF(I48="SL",-1,IF(AND(I48="CIERRE",J48&lt;&gt;""),ROUND(IF(E48="LARGO",J48-D48,D48-J48)/F48,3),"")))</f>
        <v/>
      </c>
    </row>
    <row r="49">
      <c r="A49" s="4" t="n">
        <v>44629</v>
      </c>
      <c r="E49">
        <f>IF(OR(B49="",C49=""),"",IF(C49&gt;B49,"LARGO",IF(C49&lt;B49,"CORTO","NADA")))</f>
        <v/>
      </c>
      <c r="F49">
        <f>IF(D49="","",ROUND(D49*0.004,2))</f>
        <v/>
      </c>
      <c r="G49">
        <f>IF(OR(D49="",E49="NADA"),"",IF(E49="LARGO",D49-F49,D49+F49))</f>
        <v/>
      </c>
      <c r="H49">
        <f>IF(OR(D49="",E49="NADA"),"",IF(E49="LARGO",D49+2*F49,D49-2*F49))</f>
        <v/>
      </c>
      <c r="K49">
        <f>IF(I49="TP",2,IF(I49="SL",-1,IF(AND(I49="CIERRE",J49&lt;&gt;""),ROUND(IF(E49="LARGO",J49-D49,D49-J49)/F49,3),"")))</f>
        <v/>
      </c>
    </row>
    <row r="50">
      <c r="A50" s="4" t="n">
        <v>44630</v>
      </c>
      <c r="E50">
        <f>IF(OR(B50="",C50=""),"",IF(C50&gt;B50,"LARGO",IF(C50&lt;B50,"CORTO","NADA")))</f>
        <v/>
      </c>
      <c r="F50">
        <f>IF(D50="","",ROUND(D50*0.004,2))</f>
        <v/>
      </c>
      <c r="G50">
        <f>IF(OR(D50="",E50="NADA"),"",IF(E50="LARGO",D50-F50,D50+F50))</f>
        <v/>
      </c>
      <c r="H50">
        <f>IF(OR(D50="",E50="NADA"),"",IF(E50="LARGO",D50+2*F50,D50-2*F50))</f>
        <v/>
      </c>
      <c r="K50">
        <f>IF(I50="TP",2,IF(I50="SL",-1,IF(AND(I50="CIERRE",J50&lt;&gt;""),ROUND(IF(E50="LARGO",J50-D50,D50-J50)/F50,3),"")))</f>
        <v/>
      </c>
    </row>
    <row r="51">
      <c r="A51" s="4" t="n">
        <v>44631</v>
      </c>
      <c r="E51">
        <f>IF(OR(B51="",C51=""),"",IF(C51&gt;B51,"LARGO",IF(C51&lt;B51,"CORTO","NADA")))</f>
        <v/>
      </c>
      <c r="F51">
        <f>IF(D51="","",ROUND(D51*0.004,2))</f>
        <v/>
      </c>
      <c r="G51">
        <f>IF(OR(D51="",E51="NADA"),"",IF(E51="LARGO",D51-F51,D51+F51))</f>
        <v/>
      </c>
      <c r="H51">
        <f>IF(OR(D51="",E51="NADA"),"",IF(E51="LARGO",D51+2*F51,D51-2*F51))</f>
        <v/>
      </c>
      <c r="K51">
        <f>IF(I51="TP",2,IF(I51="SL",-1,IF(AND(I51="CIERRE",J51&lt;&gt;""),ROUND(IF(E51="LARGO",J51-D51,D51-J51)/F51,3),"")))</f>
        <v/>
      </c>
    </row>
    <row r="52">
      <c r="A52" s="4" t="n">
        <v>44634</v>
      </c>
      <c r="E52">
        <f>IF(OR(B52="",C52=""),"",IF(C52&gt;B52,"LARGO",IF(C52&lt;B52,"CORTO","NADA")))</f>
        <v/>
      </c>
      <c r="F52">
        <f>IF(D52="","",ROUND(D52*0.004,2))</f>
        <v/>
      </c>
      <c r="G52">
        <f>IF(OR(D52="",E52="NADA"),"",IF(E52="LARGO",D52-F52,D52+F52))</f>
        <v/>
      </c>
      <c r="H52">
        <f>IF(OR(D52="",E52="NADA"),"",IF(E52="LARGO",D52+2*F52,D52-2*F52))</f>
        <v/>
      </c>
      <c r="K52">
        <f>IF(I52="TP",2,IF(I52="SL",-1,IF(AND(I52="CIERRE",J52&lt;&gt;""),ROUND(IF(E52="LARGO",J52-D52,D52-J52)/F52,3),"")))</f>
        <v/>
      </c>
    </row>
    <row r="53">
      <c r="A53" s="4" t="n">
        <v>44635</v>
      </c>
      <c r="E53">
        <f>IF(OR(B53="",C53=""),"",IF(C53&gt;B53,"LARGO",IF(C53&lt;B53,"CORTO","NADA")))</f>
        <v/>
      </c>
      <c r="F53">
        <f>IF(D53="","",ROUND(D53*0.004,2))</f>
        <v/>
      </c>
      <c r="G53">
        <f>IF(OR(D53="",E53="NADA"),"",IF(E53="LARGO",D53-F53,D53+F53))</f>
        <v/>
      </c>
      <c r="H53">
        <f>IF(OR(D53="",E53="NADA"),"",IF(E53="LARGO",D53+2*F53,D53-2*F53))</f>
        <v/>
      </c>
      <c r="K53">
        <f>IF(I53="TP",2,IF(I53="SL",-1,IF(AND(I53="CIERRE",J53&lt;&gt;""),ROUND(IF(E53="LARGO",J53-D53,D53-J53)/F53,3),"")))</f>
        <v/>
      </c>
    </row>
    <row r="54">
      <c r="A54" s="4" t="n">
        <v>44636</v>
      </c>
      <c r="E54">
        <f>IF(OR(B54="",C54=""),"",IF(C54&gt;B54,"LARGO",IF(C54&lt;B54,"CORTO","NADA")))</f>
        <v/>
      </c>
      <c r="F54">
        <f>IF(D54="","",ROUND(D54*0.004,2))</f>
        <v/>
      </c>
      <c r="G54">
        <f>IF(OR(D54="",E54="NADA"),"",IF(E54="LARGO",D54-F54,D54+F54))</f>
        <v/>
      </c>
      <c r="H54">
        <f>IF(OR(D54="",E54="NADA"),"",IF(E54="LARGO",D54+2*F54,D54-2*F54))</f>
        <v/>
      </c>
      <c r="K54">
        <f>IF(I54="TP",2,IF(I54="SL",-1,IF(AND(I54="CIERRE",J54&lt;&gt;""),ROUND(IF(E54="LARGO",J54-D54,D54-J54)/F54,3),"")))</f>
        <v/>
      </c>
    </row>
    <row r="55">
      <c r="A55" s="4" t="n">
        <v>44637</v>
      </c>
      <c r="E55">
        <f>IF(OR(B55="",C55=""),"",IF(C55&gt;B55,"LARGO",IF(C55&lt;B55,"CORTO","NADA")))</f>
        <v/>
      </c>
      <c r="F55">
        <f>IF(D55="","",ROUND(D55*0.004,2))</f>
        <v/>
      </c>
      <c r="G55">
        <f>IF(OR(D55="",E55="NADA"),"",IF(E55="LARGO",D55-F55,D55+F55))</f>
        <v/>
      </c>
      <c r="H55">
        <f>IF(OR(D55="",E55="NADA"),"",IF(E55="LARGO",D55+2*F55,D55-2*F55))</f>
        <v/>
      </c>
      <c r="K55">
        <f>IF(I55="TP",2,IF(I55="SL",-1,IF(AND(I55="CIERRE",J55&lt;&gt;""),ROUND(IF(E55="LARGO",J55-D55,D55-J55)/F55,3),"")))</f>
        <v/>
      </c>
    </row>
    <row r="56">
      <c r="A56" s="4" t="n">
        <v>44638</v>
      </c>
      <c r="E56">
        <f>IF(OR(B56="",C56=""),"",IF(C56&gt;B56,"LARGO",IF(C56&lt;B56,"CORTO","NADA")))</f>
        <v/>
      </c>
      <c r="F56">
        <f>IF(D56="","",ROUND(D56*0.004,2))</f>
        <v/>
      </c>
      <c r="G56">
        <f>IF(OR(D56="",E56="NADA"),"",IF(E56="LARGO",D56-F56,D56+F56))</f>
        <v/>
      </c>
      <c r="H56">
        <f>IF(OR(D56="",E56="NADA"),"",IF(E56="LARGO",D56+2*F56,D56-2*F56))</f>
        <v/>
      </c>
      <c r="K56">
        <f>IF(I56="TP",2,IF(I56="SL",-1,IF(AND(I56="CIERRE",J56&lt;&gt;""),ROUND(IF(E56="LARGO",J56-D56,D56-J56)/F56,3),"")))</f>
        <v/>
      </c>
    </row>
    <row r="57">
      <c r="A57" s="4" t="n">
        <v>44641</v>
      </c>
      <c r="E57">
        <f>IF(OR(B57="",C57=""),"",IF(C57&gt;B57,"LARGO",IF(C57&lt;B57,"CORTO","NADA")))</f>
        <v/>
      </c>
      <c r="F57">
        <f>IF(D57="","",ROUND(D57*0.004,2))</f>
        <v/>
      </c>
      <c r="G57">
        <f>IF(OR(D57="",E57="NADA"),"",IF(E57="LARGO",D57-F57,D57+F57))</f>
        <v/>
      </c>
      <c r="H57">
        <f>IF(OR(D57="",E57="NADA"),"",IF(E57="LARGO",D57+2*F57,D57-2*F57))</f>
        <v/>
      </c>
      <c r="K57">
        <f>IF(I57="TP",2,IF(I57="SL",-1,IF(AND(I57="CIERRE",J57&lt;&gt;""),ROUND(IF(E57="LARGO",J57-D57,D57-J57)/F57,3),"")))</f>
        <v/>
      </c>
    </row>
    <row r="58">
      <c r="A58" s="4" t="n">
        <v>44642</v>
      </c>
      <c r="E58">
        <f>IF(OR(B58="",C58=""),"",IF(C58&gt;B58,"LARGO",IF(C58&lt;B58,"CORTO","NADA")))</f>
        <v/>
      </c>
      <c r="F58">
        <f>IF(D58="","",ROUND(D58*0.004,2))</f>
        <v/>
      </c>
      <c r="G58">
        <f>IF(OR(D58="",E58="NADA"),"",IF(E58="LARGO",D58-F58,D58+F58))</f>
        <v/>
      </c>
      <c r="H58">
        <f>IF(OR(D58="",E58="NADA"),"",IF(E58="LARGO",D58+2*F58,D58-2*F58))</f>
        <v/>
      </c>
      <c r="K58">
        <f>IF(I58="TP",2,IF(I58="SL",-1,IF(AND(I58="CIERRE",J58&lt;&gt;""),ROUND(IF(E58="LARGO",J58-D58,D58-J58)/F58,3),"")))</f>
        <v/>
      </c>
    </row>
    <row r="59">
      <c r="A59" s="4" t="n">
        <v>44643</v>
      </c>
      <c r="E59">
        <f>IF(OR(B59="",C59=""),"",IF(C59&gt;B59,"LARGO",IF(C59&lt;B59,"CORTO","NADA")))</f>
        <v/>
      </c>
      <c r="F59">
        <f>IF(D59="","",ROUND(D59*0.004,2))</f>
        <v/>
      </c>
      <c r="G59">
        <f>IF(OR(D59="",E59="NADA"),"",IF(E59="LARGO",D59-F59,D59+F59))</f>
        <v/>
      </c>
      <c r="H59">
        <f>IF(OR(D59="",E59="NADA"),"",IF(E59="LARGO",D59+2*F59,D59-2*F59))</f>
        <v/>
      </c>
      <c r="K59">
        <f>IF(I59="TP",2,IF(I59="SL",-1,IF(AND(I59="CIERRE",J59&lt;&gt;""),ROUND(IF(E59="LARGO",J59-D59,D59-J59)/F59,3),"")))</f>
        <v/>
      </c>
    </row>
    <row r="60">
      <c r="A60" s="4" t="n">
        <v>44644</v>
      </c>
      <c r="E60">
        <f>IF(OR(B60="",C60=""),"",IF(C60&gt;B60,"LARGO",IF(C60&lt;B60,"CORTO","NADA")))</f>
        <v/>
      </c>
      <c r="F60">
        <f>IF(D60="","",ROUND(D60*0.004,2))</f>
        <v/>
      </c>
      <c r="G60">
        <f>IF(OR(D60="",E60="NADA"),"",IF(E60="LARGO",D60-F60,D60+F60))</f>
        <v/>
      </c>
      <c r="H60">
        <f>IF(OR(D60="",E60="NADA"),"",IF(E60="LARGO",D60+2*F60,D60-2*F60))</f>
        <v/>
      </c>
      <c r="K60">
        <f>IF(I60="TP",2,IF(I60="SL",-1,IF(AND(I60="CIERRE",J60&lt;&gt;""),ROUND(IF(E60="LARGO",J60-D60,D60-J60)/F60,3),"")))</f>
        <v/>
      </c>
    </row>
    <row r="61">
      <c r="A61" s="4" t="n">
        <v>44645</v>
      </c>
      <c r="E61">
        <f>IF(OR(B61="",C61=""),"",IF(C61&gt;B61,"LARGO",IF(C61&lt;B61,"CORTO","NADA")))</f>
        <v/>
      </c>
      <c r="F61">
        <f>IF(D61="","",ROUND(D61*0.004,2))</f>
        <v/>
      </c>
      <c r="G61">
        <f>IF(OR(D61="",E61="NADA"),"",IF(E61="LARGO",D61-F61,D61+F61))</f>
        <v/>
      </c>
      <c r="H61">
        <f>IF(OR(D61="",E61="NADA"),"",IF(E61="LARGO",D61+2*F61,D61-2*F61))</f>
        <v/>
      </c>
      <c r="K61">
        <f>IF(I61="TP",2,IF(I61="SL",-1,IF(AND(I61="CIERRE",J61&lt;&gt;""),ROUND(IF(E61="LARGO",J61-D61,D61-J61)/F61,3),"")))</f>
        <v/>
      </c>
    </row>
  </sheetData>
  <dataValidations count="1">
    <dataValidation sqref="I2 I3 I4 I5 I6 I7 I8 I9 I10 I11 I12 I13 I14 I15 I16 I17 I18 I19 I20 I21 I22 I23 I24 I25 I26 I27 I28 I29 I30 I31 I32 I33 I34 I35 I36 I37 I38 I39 I40 I41 I42 I43 I44 I45 I46 I47 I48 I49 I50 I51 I52 I53 I54 I55 I56 I57 I58 I59 I60 I61" showDropDown="0" showInputMessage="0" showErrorMessage="0" allowBlank="1" type="list">
      <formula1>"TP,SL,CIERRE"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2" customWidth="1" min="1" max="1"/>
    <col width="44" customWidth="1" min="2" max="2"/>
  </cols>
  <sheetData>
    <row r="1">
      <c r="A1" s="2" t="inlineStr">
        <is>
          <t>Días apuntados</t>
        </is>
      </c>
      <c r="B1">
        <f>COUNTA(Operaciones!I2:I61)</f>
        <v/>
      </c>
    </row>
    <row r="2">
      <c r="A2" s="2" t="inlineStr">
        <is>
          <t>TP</t>
        </is>
      </c>
      <c r="B2">
        <f>COUNTIF(Operaciones!I2:I61,"TP")</f>
        <v/>
      </c>
    </row>
    <row r="3">
      <c r="A3" s="2" t="inlineStr">
        <is>
          <t>SL</t>
        </is>
      </c>
      <c r="B3">
        <f>COUNTIF(Operaciones!I2:I61,"SL")</f>
        <v/>
      </c>
    </row>
    <row r="4">
      <c r="A4" s="2" t="inlineStr">
        <is>
          <t>Cierres 15:59</t>
        </is>
      </c>
      <c r="B4">
        <f>COUNTIF(Operaciones!I2:I61,"CIERRE")</f>
        <v/>
      </c>
    </row>
    <row r="5">
      <c r="A5" s="2" t="inlineStr">
        <is>
          <t>R total (sin comisión)</t>
        </is>
      </c>
      <c r="B5">
        <f>SUM(Operaciones!K2:K61)</f>
        <v/>
      </c>
    </row>
    <row r="6">
      <c r="A6" s="2" t="inlineStr">
        <is>
          <t>R media por operación</t>
        </is>
      </c>
      <c r="B6">
        <f>IF(B1=0,"",B5/B1)</f>
        <v/>
      </c>
    </row>
    <row r="7">
      <c r="A7" s="2" t="inlineStr">
        <is>
          <t>Comisión aprox. (0,87 pts / stop medio)</t>
        </is>
      </c>
      <c r="B7">
        <f>IF(B1=0,"",B1*0.87/AVERAGE(Operaciones!F2:F61))</f>
        <v/>
      </c>
    </row>
    <row r="8">
      <c r="A8" s="2" t="inlineStr">
        <is>
          <t>R total con comisión</t>
        </is>
      </c>
      <c r="B8">
        <f>IF(B1=0,"",B5-B7)</f>
        <v/>
      </c>
    </row>
    <row r="9">
      <c r="A9" s="2" t="inlineStr">
        <is>
          <t>Esperado del backtest</t>
        </is>
      </c>
      <c r="B9" t="inlineStr">
        <is>
          <t>≈ +5R en 60 días (rango normal −9R a +19R)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2026-10-04T18:50:33Z</dcterms:created>
  <dcterms:modified xsi:type="dcterms:W3CDTF">2026-10-04T18:50:33Z</dcterms:modified>
</cp:coreProperties>
</file>